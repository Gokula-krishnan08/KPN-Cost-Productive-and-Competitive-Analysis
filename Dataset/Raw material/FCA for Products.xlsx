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ni\Downloads\"/>
    </mc:Choice>
  </mc:AlternateContent>
  <xr:revisionPtr revIDLastSave="0" documentId="13_ncr:1_{C0EB410E-26E8-4E6E-A8D0-AADAF1EDEDDB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Raw Material Cost" sheetId="1" r:id="rId1"/>
    <sheet name="Direct Labour Cost" sheetId="2" r:id="rId2"/>
    <sheet name="Manufacturing Overheads" sheetId="3" r:id="rId3"/>
    <sheet name="Packaging Cos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1" l="1"/>
  <c r="G44" i="1" s="1"/>
  <c r="E29" i="5"/>
  <c r="F29" i="5" s="1"/>
  <c r="E27" i="5"/>
  <c r="F27" i="5" s="1"/>
  <c r="E27" i="2"/>
  <c r="F27" i="2" s="1"/>
  <c r="G27" i="2" s="1"/>
  <c r="H27" i="2" s="1"/>
  <c r="E26" i="2"/>
  <c r="F26" i="2" s="1"/>
  <c r="G26" i="2" s="1"/>
  <c r="H26" i="2" s="1"/>
  <c r="F31" i="5" l="1"/>
  <c r="H28" i="2"/>
  <c r="B29" i="2" s="1"/>
  <c r="G43" i="1" l="1"/>
  <c r="F43" i="1"/>
  <c r="G42" i="1"/>
  <c r="F42" i="1"/>
  <c r="G41" i="1"/>
  <c r="F41" i="1"/>
  <c r="G45" i="1" l="1"/>
  <c r="I41" i="1" l="1"/>
  <c r="G3" i="2"/>
  <c r="E21" i="5" l="1"/>
  <c r="F21" i="5" s="1"/>
  <c r="E19" i="5"/>
  <c r="F19" i="5" s="1"/>
  <c r="F23" i="5" s="1"/>
  <c r="E20" i="2"/>
  <c r="F20" i="2" s="1"/>
  <c r="G20" i="2" s="1"/>
  <c r="E19" i="2"/>
  <c r="F19" i="2" s="1"/>
  <c r="G19" i="2" s="1"/>
  <c r="G29" i="1"/>
  <c r="G33" i="1"/>
  <c r="F35" i="1"/>
  <c r="G35" i="1" s="1"/>
  <c r="F34" i="1"/>
  <c r="G34" i="1" s="1"/>
  <c r="F33" i="1"/>
  <c r="F32" i="1"/>
  <c r="G32" i="1" s="1"/>
  <c r="F31" i="1"/>
  <c r="G31" i="1" s="1"/>
  <c r="F30" i="1"/>
  <c r="G30" i="1" s="1"/>
  <c r="F29" i="1"/>
  <c r="F28" i="1"/>
  <c r="G28" i="1" s="1"/>
  <c r="H19" i="2" l="1"/>
  <c r="H20" i="2"/>
  <c r="G37" i="1"/>
  <c r="I28" i="1" s="1"/>
  <c r="H21" i="2" l="1"/>
  <c r="B22" i="2" s="1"/>
  <c r="E13" i="5" l="1"/>
  <c r="F13" i="5" s="1"/>
  <c r="E11" i="5"/>
  <c r="F11" i="5" s="1"/>
  <c r="B5" i="3"/>
  <c r="E13" i="2"/>
  <c r="F13" i="2" s="1"/>
  <c r="G13" i="2" s="1"/>
  <c r="H13" i="2" s="1"/>
  <c r="E12" i="2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5" i="5" l="1"/>
  <c r="F12" i="2"/>
  <c r="G12" i="2" s="1"/>
  <c r="H12" i="2" s="1"/>
  <c r="H14" i="2" s="1"/>
  <c r="B15" i="2" s="1"/>
  <c r="G23" i="1"/>
  <c r="I14" i="1" l="1"/>
  <c r="E5" i="5"/>
  <c r="F5" i="5" s="1"/>
  <c r="E3" i="5"/>
  <c r="F3" i="5" s="1"/>
  <c r="C10" i="3"/>
  <c r="C11" i="3" s="1"/>
  <c r="C9" i="3"/>
  <c r="C8" i="3"/>
  <c r="C4" i="3"/>
  <c r="C3" i="3"/>
  <c r="C5" i="3" s="1"/>
  <c r="H3" i="2"/>
  <c r="G5" i="2"/>
  <c r="H5" i="2" s="1"/>
  <c r="G4" i="2"/>
  <c r="H4" i="2" s="1"/>
  <c r="B13" i="3" l="1"/>
  <c r="B14" i="3" s="1"/>
  <c r="G5" i="1"/>
  <c r="G4" i="1"/>
  <c r="G3" i="1"/>
  <c r="G7" i="1" s="1"/>
  <c r="I3" i="1" s="1"/>
  <c r="F5" i="1"/>
  <c r="F4" i="1"/>
  <c r="F3" i="1"/>
  <c r="F7" i="5" l="1"/>
  <c r="H6" i="2"/>
  <c r="B11" i="3"/>
</calcChain>
</file>

<file path=xl/sharedStrings.xml><?xml version="1.0" encoding="utf-8"?>
<sst xmlns="http://schemas.openxmlformats.org/spreadsheetml/2006/main" count="223" uniqueCount="87">
  <si>
    <t>Material Name</t>
  </si>
  <si>
    <t>Unit</t>
  </si>
  <si>
    <t>Peanuts</t>
  </si>
  <si>
    <t>Kg</t>
  </si>
  <si>
    <t>Jaggery</t>
  </si>
  <si>
    <t>Cardamom Powder</t>
  </si>
  <si>
    <t>Gram</t>
  </si>
  <si>
    <t>Total Raw Material Cost</t>
  </si>
  <si>
    <t>Activity</t>
  </si>
  <si>
    <t>No. of Workers</t>
  </si>
  <si>
    <t>Time (Hours)</t>
  </si>
  <si>
    <t>Rate per Hour (₹)</t>
  </si>
  <si>
    <t>Cost (₹)</t>
  </si>
  <si>
    <t>Packing</t>
  </si>
  <si>
    <t>Total Labour Cost</t>
  </si>
  <si>
    <t>Fixed Overheads</t>
  </si>
  <si>
    <t>Monthly Cost (₹)</t>
  </si>
  <si>
    <t>Machine Depreciation</t>
  </si>
  <si>
    <t>Total Fixed Overheads</t>
  </si>
  <si>
    <t>Variable Overheads</t>
  </si>
  <si>
    <t>Electricity</t>
  </si>
  <si>
    <t>Total Variable Overheads</t>
  </si>
  <si>
    <t>Packaging Item</t>
  </si>
  <si>
    <t>Rate (₹)</t>
  </si>
  <si>
    <t>Label / Sticker</t>
  </si>
  <si>
    <t>Sealing Cost</t>
  </si>
  <si>
    <t>Total Packaging Cost</t>
  </si>
  <si>
    <t>Raw Material Cost</t>
  </si>
  <si>
    <t>Packaging Cost</t>
  </si>
  <si>
    <t>Rate Per Unit</t>
  </si>
  <si>
    <t>Count per Batch</t>
  </si>
  <si>
    <t>Monthly Salary</t>
  </si>
  <si>
    <t>Daily Wages</t>
  </si>
  <si>
    <t xml:space="preserve"> Building Rent</t>
  </si>
  <si>
    <t>Price per (Kg)</t>
  </si>
  <si>
    <t>Qty per Batch(5kg)</t>
  </si>
  <si>
    <t>Cost per Batch  (₹)</t>
  </si>
  <si>
    <t>Total Cost Price (₹)</t>
  </si>
  <si>
    <t>Masters/Machine Operators</t>
  </si>
  <si>
    <t>Helper</t>
  </si>
  <si>
    <t xml:space="preserve">Wage per Batch </t>
  </si>
  <si>
    <t>Cost Per Day</t>
  </si>
  <si>
    <t>Fuel</t>
  </si>
  <si>
    <t>Cost per Month (₹)</t>
  </si>
  <si>
    <t xml:space="preserve">Gas </t>
  </si>
  <si>
    <t>Primary Pack</t>
  </si>
  <si>
    <t>Secondary Pack</t>
  </si>
  <si>
    <t>Qty per Batch</t>
  </si>
  <si>
    <t>Price of a Unit</t>
  </si>
  <si>
    <t>Pcs</t>
  </si>
  <si>
    <t>Cost perBatch (₹)</t>
  </si>
  <si>
    <t>Total Overhead for a Day</t>
  </si>
  <si>
    <t>Total Overhead for aProduct</t>
  </si>
  <si>
    <t>Box</t>
  </si>
  <si>
    <t>Vennila  Powder</t>
  </si>
  <si>
    <t>PRODUCT CHIKKI</t>
  </si>
  <si>
    <t>PRODUCT MURUKKU</t>
  </si>
  <si>
    <t>S.No</t>
  </si>
  <si>
    <t>Qty per Batch(4.5kg)</t>
  </si>
  <si>
    <t>Idli Rice</t>
  </si>
  <si>
    <t>kg</t>
  </si>
  <si>
    <t>Butter</t>
  </si>
  <si>
    <t>gram</t>
  </si>
  <si>
    <t>Omam(Ajwain)</t>
  </si>
  <si>
    <t>Sesame (yellu)</t>
  </si>
  <si>
    <t>Urad Flour (Ulundhu)</t>
  </si>
  <si>
    <t>Salt</t>
  </si>
  <si>
    <t>Fried gram Flour (kadalai)</t>
  </si>
  <si>
    <t>Refined Sunflower Oil (Gw)</t>
  </si>
  <si>
    <t>Ltr</t>
  </si>
  <si>
    <t>Water (Optional)</t>
  </si>
  <si>
    <t>Labour Cost</t>
  </si>
  <si>
    <t>Common for All Producs</t>
  </si>
  <si>
    <t>PRODUCT MIXTURE</t>
  </si>
  <si>
    <t>Besan Flour</t>
  </si>
  <si>
    <t>Ground Nut</t>
  </si>
  <si>
    <t>Pepper Powder</t>
  </si>
  <si>
    <t>Chilli Powder</t>
  </si>
  <si>
    <t>Beaten Rice(Aval)</t>
  </si>
  <si>
    <t>Asafoetida 100gm</t>
  </si>
  <si>
    <t>Qty per Batch(10kg)</t>
  </si>
  <si>
    <t>Price per (Kg,gram)</t>
  </si>
  <si>
    <t>Cover Cost</t>
  </si>
  <si>
    <t>Indirect Cost</t>
  </si>
  <si>
    <t>PRODUCT CHIPS</t>
  </si>
  <si>
    <t>Tapioca</t>
  </si>
  <si>
    <t>Qty per Batch(15kg)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</si>
</sst>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[$₹-4009]\ #,##0.00"/>
    <numFmt numFmtId="166" formatCode="[$₹-4009]\ #,##0"/>
    <numFmt numFmtId="167" formatCode="[$₹-4009]\ #,##0.0"/>
    <numFmt numFmtId="168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5" fillId="2" borderId="0" xfId="0" applyNumberFormat="1" applyFont="1" applyFill="1" applyAlignment="1">
      <alignment horizontal="center"/>
    </xf>
    <xf numFmtId="165" fontId="3" fillId="3" borderId="0" xfId="0" applyNumberFormat="1" applyFont="1" applyFill="1"/>
    <xf numFmtId="0" fontId="6" fillId="4" borderId="0" xfId="0" applyFont="1" applyFill="1"/>
    <xf numFmtId="0" fontId="3" fillId="3" borderId="0" xfId="0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5" fontId="7" fillId="0" borderId="0" xfId="0" applyNumberFormat="1" applyFont="1"/>
    <xf numFmtId="0" fontId="3" fillId="4" borderId="0" xfId="0" applyFont="1" applyFill="1"/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1" fillId="2" borderId="0" xfId="1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0" fontId="6" fillId="2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165" fontId="7" fillId="3" borderId="0" xfId="0" applyNumberFormat="1" applyFont="1" applyFill="1" applyAlignment="1">
      <alignment horizontal="center"/>
    </xf>
    <xf numFmtId="166" fontId="7" fillId="3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65" fontId="4" fillId="3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5" fontId="5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workbookViewId="0">
      <selection activeCell="E7" sqref="E7"/>
    </sheetView>
  </sheetViews>
  <sheetFormatPr defaultRowHeight="14.4" x14ac:dyDescent="0.3"/>
  <cols>
    <col min="1" max="1" width="4.6640625" customWidth="1"/>
    <col min="2" max="2" width="23.5546875" customWidth="1"/>
    <col min="3" max="3" width="7.5546875" customWidth="1"/>
    <col min="4" max="4" width="33.109375" style="2" customWidth="1"/>
    <col min="5" max="5" width="18.21875" style="2" customWidth="1"/>
    <col min="6" max="6" width="22.88671875" style="3" customWidth="1"/>
    <col min="7" max="7" width="17.88671875" style="3" customWidth="1"/>
    <col min="8" max="8" width="20.44140625" customWidth="1"/>
    <col min="9" max="9" width="17.21875" bestFit="1" customWidth="1"/>
  </cols>
  <sheetData>
    <row r="1" spans="1:9" ht="25.8" x14ac:dyDescent="0.5">
      <c r="B1" s="7" t="s">
        <v>27</v>
      </c>
      <c r="D1" s="9" t="s">
        <v>55</v>
      </c>
    </row>
    <row r="2" spans="1:9" ht="15.6" x14ac:dyDescent="0.3">
      <c r="A2" s="29" t="s">
        <v>57</v>
      </c>
      <c r="B2" s="30" t="s">
        <v>0</v>
      </c>
      <c r="C2" s="30" t="s">
        <v>1</v>
      </c>
      <c r="D2" s="5" t="s">
        <v>35</v>
      </c>
      <c r="E2" s="5" t="s">
        <v>34</v>
      </c>
      <c r="F2" s="31" t="s">
        <v>36</v>
      </c>
      <c r="G2" s="31" t="s">
        <v>37</v>
      </c>
      <c r="H2" s="30" t="s">
        <v>30</v>
      </c>
      <c r="I2" s="30" t="s">
        <v>29</v>
      </c>
    </row>
    <row r="3" spans="1:9" ht="15.6" x14ac:dyDescent="0.3">
      <c r="A3" s="14">
        <v>1</v>
      </c>
      <c r="B3" s="14" t="s">
        <v>2</v>
      </c>
      <c r="C3" s="14" t="s">
        <v>3</v>
      </c>
      <c r="D3" s="32">
        <v>3</v>
      </c>
      <c r="E3" s="32">
        <v>133</v>
      </c>
      <c r="F3" s="13">
        <f>E3*D3</f>
        <v>399</v>
      </c>
      <c r="G3" s="13">
        <f>E3*D3</f>
        <v>399</v>
      </c>
      <c r="H3" s="39">
        <v>37</v>
      </c>
      <c r="I3" s="40">
        <f>G7/H3</f>
        <v>15.324324324324325</v>
      </c>
    </row>
    <row r="4" spans="1:9" ht="15.6" x14ac:dyDescent="0.3">
      <c r="A4" s="14">
        <v>2</v>
      </c>
      <c r="B4" s="14" t="s">
        <v>4</v>
      </c>
      <c r="C4" s="14" t="s">
        <v>3</v>
      </c>
      <c r="D4" s="32">
        <v>2</v>
      </c>
      <c r="E4" s="32">
        <v>54</v>
      </c>
      <c r="F4" s="13">
        <f>E4*D4</f>
        <v>108</v>
      </c>
      <c r="G4" s="13">
        <f>E4*D4</f>
        <v>108</v>
      </c>
      <c r="H4" s="39"/>
      <c r="I4" s="40"/>
    </row>
    <row r="5" spans="1:9" ht="15.6" x14ac:dyDescent="0.3">
      <c r="A5" s="14">
        <v>3</v>
      </c>
      <c r="B5" s="14" t="s">
        <v>5</v>
      </c>
      <c r="C5" s="14" t="s">
        <v>6</v>
      </c>
      <c r="D5" s="32">
        <v>1</v>
      </c>
      <c r="E5" s="32">
        <v>10</v>
      </c>
      <c r="F5" s="13">
        <f>E5*D5</f>
        <v>10</v>
      </c>
      <c r="G5" s="13">
        <f>E5*D5</f>
        <v>10</v>
      </c>
      <c r="H5" s="39"/>
      <c r="I5" s="40"/>
    </row>
    <row r="6" spans="1:9" ht="15.6" x14ac:dyDescent="0.3">
      <c r="A6" s="14">
        <v>4</v>
      </c>
      <c r="B6" s="14" t="s">
        <v>54</v>
      </c>
      <c r="C6" s="14" t="s">
        <v>53</v>
      </c>
      <c r="D6" s="33">
        <v>1</v>
      </c>
      <c r="E6" s="14">
        <v>50</v>
      </c>
      <c r="F6" s="14">
        <v>50</v>
      </c>
      <c r="G6" s="14">
        <v>50</v>
      </c>
      <c r="H6" s="39"/>
      <c r="I6" s="40"/>
    </row>
    <row r="7" spans="1:9" ht="15.6" x14ac:dyDescent="0.3">
      <c r="A7" s="14"/>
      <c r="B7" s="14"/>
      <c r="C7" s="14"/>
      <c r="D7" s="32"/>
      <c r="E7" s="32"/>
      <c r="F7" s="30" t="s">
        <v>7</v>
      </c>
      <c r="G7" s="34">
        <f>SUM(G3:G6)</f>
        <v>567</v>
      </c>
      <c r="H7" s="14"/>
      <c r="I7" s="14"/>
    </row>
    <row r="8" spans="1:9" ht="15.6" x14ac:dyDescent="0.3">
      <c r="A8" s="14"/>
      <c r="B8" s="14"/>
      <c r="C8" s="14"/>
      <c r="D8" s="32"/>
      <c r="E8" s="32"/>
      <c r="F8" s="35"/>
      <c r="G8" s="35"/>
      <c r="H8" s="14"/>
      <c r="I8" s="14"/>
    </row>
    <row r="9" spans="1:9" ht="15.6" x14ac:dyDescent="0.3">
      <c r="A9" s="14"/>
      <c r="B9" s="14"/>
      <c r="C9" s="14"/>
      <c r="D9" s="32"/>
      <c r="E9" s="32"/>
      <c r="F9" s="35"/>
      <c r="G9" s="35"/>
      <c r="H9" s="14"/>
      <c r="I9" s="14"/>
    </row>
    <row r="10" spans="1:9" ht="15.6" x14ac:dyDescent="0.3">
      <c r="A10" s="14"/>
      <c r="B10" s="14"/>
      <c r="C10" s="14"/>
      <c r="D10" s="32"/>
      <c r="E10" s="32"/>
      <c r="F10" s="35"/>
      <c r="G10" s="35"/>
      <c r="H10" s="14"/>
      <c r="I10" s="14"/>
    </row>
    <row r="11" spans="1:9" ht="15.6" x14ac:dyDescent="0.3">
      <c r="A11" s="14"/>
      <c r="B11" s="14"/>
      <c r="C11" s="14"/>
      <c r="D11" s="32"/>
      <c r="E11" s="32"/>
      <c r="F11" s="35"/>
      <c r="G11" s="35"/>
      <c r="H11" s="14"/>
      <c r="I11" s="14"/>
    </row>
    <row r="12" spans="1:9" ht="25.8" x14ac:dyDescent="0.5">
      <c r="A12" s="14"/>
      <c r="B12" s="14"/>
      <c r="C12" s="14"/>
      <c r="D12" s="9" t="s">
        <v>56</v>
      </c>
      <c r="E12" s="32"/>
      <c r="F12" s="13"/>
      <c r="G12" s="35"/>
      <c r="H12" s="14"/>
      <c r="I12" s="14"/>
    </row>
    <row r="13" spans="1:9" ht="15.6" x14ac:dyDescent="0.3">
      <c r="A13" s="29" t="s">
        <v>57</v>
      </c>
      <c r="B13" s="30" t="s">
        <v>0</v>
      </c>
      <c r="C13" s="30" t="s">
        <v>1</v>
      </c>
      <c r="D13" s="5" t="s">
        <v>58</v>
      </c>
      <c r="E13" s="5" t="s">
        <v>34</v>
      </c>
      <c r="F13" s="36" t="s">
        <v>36</v>
      </c>
      <c r="G13" s="31" t="s">
        <v>37</v>
      </c>
      <c r="H13" s="30" t="s">
        <v>30</v>
      </c>
      <c r="I13" s="30" t="s">
        <v>29</v>
      </c>
    </row>
    <row r="14" spans="1:9" ht="15.6" x14ac:dyDescent="0.3">
      <c r="A14" s="14">
        <v>1</v>
      </c>
      <c r="B14" s="14" t="s">
        <v>59</v>
      </c>
      <c r="C14" s="14" t="s">
        <v>60</v>
      </c>
      <c r="D14" s="32">
        <v>2.5</v>
      </c>
      <c r="E14" s="14">
        <v>54</v>
      </c>
      <c r="F14" s="13">
        <f>E14*D14</f>
        <v>135</v>
      </c>
      <c r="G14" s="13">
        <f>F14</f>
        <v>135</v>
      </c>
      <c r="H14" s="39">
        <v>30</v>
      </c>
      <c r="I14" s="41">
        <f>G23/H14</f>
        <v>36.049333333333337</v>
      </c>
    </row>
    <row r="15" spans="1:9" ht="15.6" x14ac:dyDescent="0.3">
      <c r="A15" s="14">
        <v>2</v>
      </c>
      <c r="B15" s="14" t="s">
        <v>61</v>
      </c>
      <c r="C15" s="14" t="s">
        <v>62</v>
      </c>
      <c r="D15" s="32">
        <v>350</v>
      </c>
      <c r="E15" s="14">
        <v>530</v>
      </c>
      <c r="F15" s="13">
        <f>E15*D15/1000</f>
        <v>185.5</v>
      </c>
      <c r="G15" s="13">
        <f t="shared" ref="G15:G22" si="0">F15</f>
        <v>185.5</v>
      </c>
      <c r="H15" s="39"/>
      <c r="I15" s="42"/>
    </row>
    <row r="16" spans="1:9" ht="15.6" x14ac:dyDescent="0.3">
      <c r="A16" s="14">
        <v>3</v>
      </c>
      <c r="B16" s="14" t="s">
        <v>63</v>
      </c>
      <c r="C16" s="14" t="s">
        <v>62</v>
      </c>
      <c r="D16" s="32">
        <v>10</v>
      </c>
      <c r="E16" s="14">
        <v>330</v>
      </c>
      <c r="F16" s="13">
        <f>E16*D16/1000</f>
        <v>3.3</v>
      </c>
      <c r="G16" s="13">
        <f t="shared" si="0"/>
        <v>3.3</v>
      </c>
      <c r="H16" s="39"/>
      <c r="I16" s="42"/>
    </row>
    <row r="17" spans="1:9" ht="15.6" x14ac:dyDescent="0.3">
      <c r="A17" s="14">
        <v>4</v>
      </c>
      <c r="B17" s="14" t="s">
        <v>64</v>
      </c>
      <c r="C17" s="14" t="s">
        <v>62</v>
      </c>
      <c r="D17" s="32">
        <v>10</v>
      </c>
      <c r="E17" s="14">
        <v>368</v>
      </c>
      <c r="F17" s="13">
        <f>E17*D17/1000</f>
        <v>3.68</v>
      </c>
      <c r="G17" s="13">
        <f t="shared" si="0"/>
        <v>3.68</v>
      </c>
      <c r="H17" s="39"/>
      <c r="I17" s="42"/>
    </row>
    <row r="18" spans="1:9" ht="15.6" x14ac:dyDescent="0.3">
      <c r="A18" s="14">
        <v>5</v>
      </c>
      <c r="B18" s="14" t="s">
        <v>65</v>
      </c>
      <c r="C18" s="14" t="s">
        <v>62</v>
      </c>
      <c r="D18" s="32">
        <v>350</v>
      </c>
      <c r="E18" s="14">
        <v>104</v>
      </c>
      <c r="F18" s="13">
        <f>E18*D18/1000</f>
        <v>36.4</v>
      </c>
      <c r="G18" s="13">
        <f t="shared" si="0"/>
        <v>36.4</v>
      </c>
      <c r="H18" s="14"/>
      <c r="I18" s="14"/>
    </row>
    <row r="19" spans="1:9" ht="15.6" x14ac:dyDescent="0.3">
      <c r="A19" s="14">
        <v>6</v>
      </c>
      <c r="B19" s="14" t="s">
        <v>66</v>
      </c>
      <c r="C19" s="14" t="s">
        <v>62</v>
      </c>
      <c r="D19" s="32">
        <v>120</v>
      </c>
      <c r="E19" s="14">
        <v>30</v>
      </c>
      <c r="F19" s="13">
        <f>E19*D19/1000</f>
        <v>3.6</v>
      </c>
      <c r="G19" s="13">
        <f t="shared" si="0"/>
        <v>3.6</v>
      </c>
      <c r="H19" s="14"/>
      <c r="I19" s="14"/>
    </row>
    <row r="20" spans="1:9" ht="15.6" x14ac:dyDescent="0.3">
      <c r="A20" s="14">
        <v>7</v>
      </c>
      <c r="B20" s="14" t="s">
        <v>67</v>
      </c>
      <c r="C20" s="14" t="s">
        <v>60</v>
      </c>
      <c r="D20" s="32">
        <v>3.5</v>
      </c>
      <c r="E20" s="14">
        <v>110</v>
      </c>
      <c r="F20" s="13">
        <f>E20*D20</f>
        <v>385</v>
      </c>
      <c r="G20" s="13">
        <f t="shared" si="0"/>
        <v>385</v>
      </c>
      <c r="H20" s="14"/>
      <c r="I20" s="14"/>
    </row>
    <row r="21" spans="1:9" ht="15.6" x14ac:dyDescent="0.3">
      <c r="A21" s="14">
        <v>8</v>
      </c>
      <c r="B21" s="14" t="s">
        <v>68</v>
      </c>
      <c r="C21" s="14" t="s">
        <v>69</v>
      </c>
      <c r="D21" s="32">
        <v>2</v>
      </c>
      <c r="E21" s="14">
        <v>152</v>
      </c>
      <c r="F21" s="13">
        <f>E21*D21</f>
        <v>304</v>
      </c>
      <c r="G21" s="13">
        <f t="shared" si="0"/>
        <v>304</v>
      </c>
      <c r="H21" s="14"/>
      <c r="I21" s="14"/>
    </row>
    <row r="22" spans="1:9" ht="15.6" x14ac:dyDescent="0.3">
      <c r="A22" s="14">
        <v>9</v>
      </c>
      <c r="B22" s="14" t="s">
        <v>70</v>
      </c>
      <c r="C22" s="14" t="s">
        <v>69</v>
      </c>
      <c r="D22" s="32">
        <v>0.5</v>
      </c>
      <c r="E22" s="14">
        <v>50</v>
      </c>
      <c r="F22" s="13">
        <f>E22*D22</f>
        <v>25</v>
      </c>
      <c r="G22" s="13">
        <f t="shared" si="0"/>
        <v>25</v>
      </c>
      <c r="H22" s="14"/>
      <c r="I22" s="14"/>
    </row>
    <row r="23" spans="1:9" ht="15.6" x14ac:dyDescent="0.3">
      <c r="A23" s="14"/>
      <c r="B23" s="14"/>
      <c r="C23" s="14"/>
      <c r="D23" s="14"/>
      <c r="E23" s="14"/>
      <c r="F23" s="30" t="s">
        <v>7</v>
      </c>
      <c r="G23" s="34">
        <f>SUM(G14:G22)</f>
        <v>1081.48</v>
      </c>
      <c r="H23" s="14"/>
      <c r="I23" s="14"/>
    </row>
    <row r="24" spans="1:9" x14ac:dyDescent="0.3">
      <c r="A24" s="16"/>
      <c r="B24" s="16"/>
      <c r="C24" s="16"/>
      <c r="D24" s="37"/>
      <c r="E24" s="37"/>
      <c r="F24" s="38"/>
      <c r="G24" s="38"/>
      <c r="H24" s="16"/>
      <c r="I24" s="16"/>
    </row>
    <row r="25" spans="1:9" x14ac:dyDescent="0.3">
      <c r="A25" s="16"/>
      <c r="B25" s="16"/>
      <c r="C25" s="16"/>
      <c r="D25" s="37"/>
      <c r="E25" s="37"/>
      <c r="F25" s="38"/>
      <c r="G25" s="38"/>
      <c r="H25" s="16"/>
      <c r="I25" s="16"/>
    </row>
    <row r="26" spans="1:9" ht="25.8" x14ac:dyDescent="0.5">
      <c r="A26" s="16"/>
      <c r="B26" s="16"/>
      <c r="C26" s="16"/>
      <c r="D26" s="9" t="s">
        <v>73</v>
      </c>
      <c r="E26" s="37"/>
      <c r="F26" s="38"/>
      <c r="G26" s="38"/>
      <c r="H26" s="16"/>
      <c r="I26" s="16"/>
    </row>
    <row r="27" spans="1:9" ht="15.6" x14ac:dyDescent="0.3">
      <c r="A27" s="29" t="s">
        <v>57</v>
      </c>
      <c r="B27" s="30" t="s">
        <v>0</v>
      </c>
      <c r="C27" s="30" t="s">
        <v>1</v>
      </c>
      <c r="D27" s="5" t="s">
        <v>80</v>
      </c>
      <c r="E27" s="5" t="s">
        <v>81</v>
      </c>
      <c r="F27" s="36" t="s">
        <v>36</v>
      </c>
      <c r="G27" s="31" t="s">
        <v>37</v>
      </c>
      <c r="H27" s="30" t="s">
        <v>30</v>
      </c>
      <c r="I27" s="30" t="s">
        <v>29</v>
      </c>
    </row>
    <row r="28" spans="1:9" ht="15.6" x14ac:dyDescent="0.3">
      <c r="A28" s="14">
        <v>1</v>
      </c>
      <c r="B28" s="16" t="s">
        <v>74</v>
      </c>
      <c r="C28" s="14" t="s">
        <v>60</v>
      </c>
      <c r="D28" s="12">
        <v>10</v>
      </c>
      <c r="E28" s="14">
        <v>92</v>
      </c>
      <c r="F28" s="13">
        <f>E28*D28</f>
        <v>920</v>
      </c>
      <c r="G28" s="13">
        <f>F28</f>
        <v>920</v>
      </c>
      <c r="H28" s="39">
        <v>120</v>
      </c>
      <c r="I28" s="41">
        <f>G37/H28</f>
        <v>34.450000000000003</v>
      </c>
    </row>
    <row r="29" spans="1:9" ht="15.6" x14ac:dyDescent="0.3">
      <c r="A29" s="14">
        <v>2</v>
      </c>
      <c r="B29" s="16" t="s">
        <v>75</v>
      </c>
      <c r="C29" s="14" t="s">
        <v>60</v>
      </c>
      <c r="D29" s="12">
        <v>4</v>
      </c>
      <c r="E29" s="14">
        <v>140</v>
      </c>
      <c r="F29" s="13">
        <f>E29*D29</f>
        <v>560</v>
      </c>
      <c r="G29" s="13">
        <f t="shared" ref="G29:G35" si="1">F29</f>
        <v>560</v>
      </c>
      <c r="H29" s="39"/>
      <c r="I29" s="42"/>
    </row>
    <row r="30" spans="1:9" ht="15.6" x14ac:dyDescent="0.3">
      <c r="A30" s="14">
        <v>3</v>
      </c>
      <c r="B30" s="16" t="s">
        <v>76</v>
      </c>
      <c r="C30" s="14" t="s">
        <v>62</v>
      </c>
      <c r="D30" s="12">
        <v>100</v>
      </c>
      <c r="E30" s="14">
        <v>95</v>
      </c>
      <c r="F30" s="13">
        <f>E30</f>
        <v>95</v>
      </c>
      <c r="G30" s="13">
        <f t="shared" si="1"/>
        <v>95</v>
      </c>
      <c r="H30" s="39"/>
      <c r="I30" s="42"/>
    </row>
    <row r="31" spans="1:9" ht="15.6" x14ac:dyDescent="0.3">
      <c r="A31" s="14">
        <v>4</v>
      </c>
      <c r="B31" s="16" t="s">
        <v>77</v>
      </c>
      <c r="C31" s="14" t="s">
        <v>62</v>
      </c>
      <c r="D31" s="12">
        <v>250</v>
      </c>
      <c r="E31" s="14">
        <v>60</v>
      </c>
      <c r="F31" s="13">
        <f>E31*2.5</f>
        <v>150</v>
      </c>
      <c r="G31" s="13">
        <f t="shared" si="1"/>
        <v>150</v>
      </c>
      <c r="H31" s="39"/>
      <c r="I31" s="42"/>
    </row>
    <row r="32" spans="1:9" ht="15.6" x14ac:dyDescent="0.3">
      <c r="A32" s="14">
        <v>5</v>
      </c>
      <c r="B32" s="16" t="s">
        <v>78</v>
      </c>
      <c r="C32" s="14" t="s">
        <v>60</v>
      </c>
      <c r="D32" s="12">
        <v>2</v>
      </c>
      <c r="E32" s="14">
        <v>54</v>
      </c>
      <c r="F32" s="13">
        <f>E32*D32</f>
        <v>108</v>
      </c>
      <c r="G32" s="13">
        <f t="shared" si="1"/>
        <v>108</v>
      </c>
      <c r="H32" s="14"/>
      <c r="I32" s="14"/>
    </row>
    <row r="33" spans="1:9" ht="15.6" x14ac:dyDescent="0.3">
      <c r="A33" s="14">
        <v>6</v>
      </c>
      <c r="B33" s="16" t="s">
        <v>66</v>
      </c>
      <c r="C33" s="14" t="s">
        <v>62</v>
      </c>
      <c r="D33" s="12">
        <v>300</v>
      </c>
      <c r="E33" s="14">
        <v>30</v>
      </c>
      <c r="F33" s="13">
        <f>E33*0.3</f>
        <v>9</v>
      </c>
      <c r="G33" s="13">
        <f t="shared" si="1"/>
        <v>9</v>
      </c>
      <c r="H33" s="14"/>
      <c r="I33" s="14"/>
    </row>
    <row r="34" spans="1:9" ht="15.6" x14ac:dyDescent="0.3">
      <c r="A34" s="14">
        <v>7</v>
      </c>
      <c r="B34" s="16" t="s">
        <v>79</v>
      </c>
      <c r="C34" s="14" t="s">
        <v>62</v>
      </c>
      <c r="D34" s="12">
        <v>100</v>
      </c>
      <c r="E34" s="14">
        <v>120</v>
      </c>
      <c r="F34" s="13">
        <f>E34*0.1</f>
        <v>12</v>
      </c>
      <c r="G34" s="13">
        <f t="shared" si="1"/>
        <v>12</v>
      </c>
      <c r="H34" s="14"/>
      <c r="I34" s="14"/>
    </row>
    <row r="35" spans="1:9" ht="15.6" x14ac:dyDescent="0.3">
      <c r="A35" s="14">
        <v>8</v>
      </c>
      <c r="B35" s="16" t="s">
        <v>68</v>
      </c>
      <c r="C35" s="14" t="s">
        <v>69</v>
      </c>
      <c r="D35" s="12">
        <v>15</v>
      </c>
      <c r="E35" s="14">
        <v>152</v>
      </c>
      <c r="F35" s="13">
        <f>E35*D35</f>
        <v>2280</v>
      </c>
      <c r="G35" s="13">
        <f t="shared" si="1"/>
        <v>2280</v>
      </c>
      <c r="H35" s="14"/>
      <c r="I35" s="14"/>
    </row>
    <row r="36" spans="1:9" ht="15.6" x14ac:dyDescent="0.3">
      <c r="A36" s="14"/>
      <c r="B36" s="16"/>
      <c r="C36" s="16"/>
      <c r="D36" s="32"/>
      <c r="E36" s="14"/>
      <c r="F36" s="13"/>
      <c r="G36" s="13"/>
      <c r="H36" s="14"/>
      <c r="I36" s="14"/>
    </row>
    <row r="37" spans="1:9" ht="15.6" x14ac:dyDescent="0.3">
      <c r="A37" s="14"/>
      <c r="B37" s="14"/>
      <c r="C37" s="14"/>
      <c r="D37" s="14"/>
      <c r="E37" s="14"/>
      <c r="F37" s="30" t="s">
        <v>7</v>
      </c>
      <c r="G37" s="34">
        <f>SUM(G28:G36)</f>
        <v>4134</v>
      </c>
      <c r="H37" s="14"/>
      <c r="I37" s="14"/>
    </row>
    <row r="38" spans="1:9" x14ac:dyDescent="0.3">
      <c r="A38" s="16"/>
      <c r="B38" s="16"/>
      <c r="C38" s="16"/>
      <c r="D38" s="37"/>
      <c r="E38" s="37"/>
      <c r="F38" s="38"/>
      <c r="G38" s="38"/>
      <c r="H38" s="16"/>
      <c r="I38" s="16"/>
    </row>
    <row r="39" spans="1:9" ht="25.8" x14ac:dyDescent="0.5">
      <c r="A39" s="16"/>
      <c r="B39" s="16"/>
      <c r="C39" s="16"/>
      <c r="D39" s="9" t="s">
        <v>84</v>
      </c>
      <c r="E39" s="37"/>
      <c r="F39" s="38"/>
      <c r="G39" s="38"/>
      <c r="H39" s="16"/>
      <c r="I39" s="16"/>
    </row>
    <row r="40" spans="1:9" ht="15.6" x14ac:dyDescent="0.3">
      <c r="A40" s="29" t="s">
        <v>57</v>
      </c>
      <c r="B40" s="30" t="s">
        <v>0</v>
      </c>
      <c r="C40" s="30" t="s">
        <v>1</v>
      </c>
      <c r="D40" s="5" t="s">
        <v>86</v>
      </c>
      <c r="E40" s="5" t="s">
        <v>34</v>
      </c>
      <c r="F40" s="31" t="s">
        <v>36</v>
      </c>
      <c r="G40" s="31" t="s">
        <v>37</v>
      </c>
      <c r="H40" s="30" t="s">
        <v>30</v>
      </c>
      <c r="I40" s="30" t="s">
        <v>29</v>
      </c>
    </row>
    <row r="41" spans="1:9" ht="15.6" x14ac:dyDescent="0.3">
      <c r="A41" s="16">
        <v>1</v>
      </c>
      <c r="B41" s="16" t="s">
        <v>85</v>
      </c>
      <c r="C41" s="14" t="s">
        <v>3</v>
      </c>
      <c r="D41" s="32">
        <v>15</v>
      </c>
      <c r="E41" s="32">
        <v>133</v>
      </c>
      <c r="F41" s="13">
        <f>E41*D41</f>
        <v>1995</v>
      </c>
      <c r="G41" s="13">
        <f>E41*D41</f>
        <v>1995</v>
      </c>
      <c r="H41" s="39">
        <v>30</v>
      </c>
      <c r="I41" s="40">
        <f>G45/H41</f>
        <v>91.635999999999996</v>
      </c>
    </row>
    <row r="42" spans="1:9" ht="15.6" x14ac:dyDescent="0.3">
      <c r="A42" s="16">
        <v>2</v>
      </c>
      <c r="B42" s="16" t="s">
        <v>77</v>
      </c>
      <c r="C42" s="14" t="s">
        <v>62</v>
      </c>
      <c r="D42" s="32">
        <v>0.02</v>
      </c>
      <c r="E42" s="32">
        <v>54</v>
      </c>
      <c r="F42" s="13">
        <f>E42*D42</f>
        <v>1.08</v>
      </c>
      <c r="G42" s="13">
        <f>E42*D42</f>
        <v>1.08</v>
      </c>
      <c r="H42" s="39"/>
      <c r="I42" s="40"/>
    </row>
    <row r="43" spans="1:9" ht="15.6" x14ac:dyDescent="0.3">
      <c r="A43" s="16">
        <v>3</v>
      </c>
      <c r="B43" s="16" t="s">
        <v>66</v>
      </c>
      <c r="C43" s="14" t="s">
        <v>62</v>
      </c>
      <c r="D43" s="32">
        <v>0.3</v>
      </c>
      <c r="E43" s="32">
        <v>10</v>
      </c>
      <c r="F43" s="13">
        <f>E43*D43</f>
        <v>3</v>
      </c>
      <c r="G43" s="13">
        <f>E43*D43</f>
        <v>3</v>
      </c>
      <c r="H43" s="39"/>
      <c r="I43" s="40"/>
    </row>
    <row r="44" spans="1:9" ht="15.6" x14ac:dyDescent="0.3">
      <c r="A44" s="16">
        <v>4</v>
      </c>
      <c r="B44" s="16" t="s">
        <v>68</v>
      </c>
      <c r="C44" s="14" t="s">
        <v>69</v>
      </c>
      <c r="D44" s="33">
        <v>15</v>
      </c>
      <c r="E44" s="14">
        <v>50</v>
      </c>
      <c r="F44" s="14">
        <f>E44*D44</f>
        <v>750</v>
      </c>
      <c r="G44" s="14">
        <f>F44</f>
        <v>750</v>
      </c>
      <c r="H44" s="39"/>
      <c r="I44" s="40"/>
    </row>
    <row r="45" spans="1:9" ht="15.6" x14ac:dyDescent="0.3">
      <c r="A45" s="14"/>
      <c r="B45" s="14"/>
      <c r="C45" s="14"/>
      <c r="D45" s="32"/>
      <c r="E45" s="32"/>
      <c r="F45" s="30" t="s">
        <v>7</v>
      </c>
      <c r="G45" s="34">
        <f>SUM(G41:G44)</f>
        <v>2749.08</v>
      </c>
      <c r="H45" s="14"/>
      <c r="I45" s="14"/>
    </row>
  </sheetData>
  <mergeCells count="8">
    <mergeCell ref="H41:H44"/>
    <mergeCell ref="I41:I44"/>
    <mergeCell ref="H3:H6"/>
    <mergeCell ref="I3:I6"/>
    <mergeCell ref="H14:H17"/>
    <mergeCell ref="I14:I17"/>
    <mergeCell ref="H28:H31"/>
    <mergeCell ref="I28:I3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opLeftCell="A16" zoomScale="120" workbookViewId="0">
      <selection activeCell="F7" sqref="F7"/>
    </sheetView>
  </sheetViews>
  <sheetFormatPr defaultRowHeight="14.4" x14ac:dyDescent="0.3"/>
  <cols>
    <col min="1" max="1" width="24.77734375" bestFit="1" customWidth="1"/>
    <col min="2" max="2" width="13.6640625" bestFit="1" customWidth="1"/>
    <col min="3" max="3" width="33.109375" bestFit="1" customWidth="1"/>
    <col min="4" max="4" width="13.44140625" customWidth="1"/>
    <col min="5" max="5" width="10.88671875" customWidth="1"/>
    <col min="6" max="6" width="15.33203125" customWidth="1"/>
    <col min="7" max="7" width="15.33203125" bestFit="1" customWidth="1"/>
    <col min="8" max="8" width="7.77734375" bestFit="1" customWidth="1"/>
  </cols>
  <sheetData>
    <row r="1" spans="1:8" ht="25.8" x14ac:dyDescent="0.5">
      <c r="A1" s="7" t="s">
        <v>71</v>
      </c>
      <c r="C1" s="9" t="s">
        <v>55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31</v>
      </c>
      <c r="E2" s="1" t="s">
        <v>32</v>
      </c>
      <c r="F2" s="1" t="s">
        <v>11</v>
      </c>
      <c r="G2" s="1" t="s">
        <v>40</v>
      </c>
      <c r="H2" s="1" t="s">
        <v>12</v>
      </c>
    </row>
    <row r="3" spans="1:8" x14ac:dyDescent="0.3">
      <c r="A3" s="16" t="s">
        <v>38</v>
      </c>
      <c r="B3" s="16">
        <v>3</v>
      </c>
      <c r="C3" s="16">
        <v>10</v>
      </c>
      <c r="D3" s="19">
        <v>39000</v>
      </c>
      <c r="E3" s="19">
        <v>1300</v>
      </c>
      <c r="F3" s="19">
        <v>130</v>
      </c>
      <c r="G3" s="19">
        <f>F3/60*15</f>
        <v>32.5</v>
      </c>
      <c r="H3" s="19">
        <f>G3</f>
        <v>32.5</v>
      </c>
    </row>
    <row r="4" spans="1:8" x14ac:dyDescent="0.3">
      <c r="A4" s="16" t="s">
        <v>39</v>
      </c>
      <c r="B4" s="16">
        <v>1</v>
      </c>
      <c r="C4" s="16">
        <v>10</v>
      </c>
      <c r="D4" s="19">
        <v>15000</v>
      </c>
      <c r="E4" s="19">
        <v>500</v>
      </c>
      <c r="F4" s="19">
        <v>50</v>
      </c>
      <c r="G4" s="19">
        <f>F4/60*15</f>
        <v>12.5</v>
      </c>
      <c r="H4" s="19">
        <f>G4</f>
        <v>12.5</v>
      </c>
    </row>
    <row r="5" spans="1:8" x14ac:dyDescent="0.3">
      <c r="A5" s="16" t="s">
        <v>13</v>
      </c>
      <c r="B5" s="16">
        <v>2</v>
      </c>
      <c r="C5" s="16">
        <v>10</v>
      </c>
      <c r="D5" s="19">
        <v>15000</v>
      </c>
      <c r="E5" s="19">
        <v>500</v>
      </c>
      <c r="F5" s="19">
        <v>50</v>
      </c>
      <c r="G5" s="19">
        <f>F5/60*15</f>
        <v>12.5</v>
      </c>
      <c r="H5" s="19">
        <f>G5</f>
        <v>12.5</v>
      </c>
    </row>
    <row r="6" spans="1:8" x14ac:dyDescent="0.3">
      <c r="A6" s="16"/>
      <c r="B6" s="16"/>
      <c r="C6" s="16"/>
      <c r="D6" s="19"/>
      <c r="E6" s="19"/>
      <c r="F6" s="19"/>
      <c r="G6" s="19"/>
      <c r="H6" s="20">
        <f>SUM(H3:H5)</f>
        <v>57.5</v>
      </c>
    </row>
    <row r="7" spans="1:8" x14ac:dyDescent="0.3">
      <c r="A7" s="16"/>
      <c r="B7" s="16"/>
      <c r="C7" s="16"/>
      <c r="D7" s="16"/>
      <c r="E7" s="16"/>
      <c r="F7" s="16"/>
      <c r="G7" s="16"/>
      <c r="H7" s="16"/>
    </row>
    <row r="8" spans="1:8" x14ac:dyDescent="0.3">
      <c r="A8" s="1" t="s">
        <v>14</v>
      </c>
      <c r="B8" s="20">
        <v>58</v>
      </c>
      <c r="C8" s="16"/>
      <c r="D8" s="16"/>
      <c r="E8" s="16"/>
      <c r="F8" s="16"/>
      <c r="G8" s="16"/>
      <c r="H8" s="16"/>
    </row>
    <row r="9" spans="1:8" x14ac:dyDescent="0.3">
      <c r="A9" s="16"/>
      <c r="B9" s="16"/>
      <c r="C9" s="16"/>
      <c r="D9" s="16"/>
      <c r="E9" s="16"/>
      <c r="F9" s="16"/>
      <c r="G9" s="16"/>
      <c r="H9" s="16"/>
    </row>
    <row r="10" spans="1:8" ht="25.8" x14ac:dyDescent="0.5">
      <c r="A10" s="16"/>
      <c r="B10" s="16"/>
      <c r="C10" s="9" t="s">
        <v>56</v>
      </c>
      <c r="D10" s="16"/>
      <c r="E10" s="16"/>
      <c r="F10" s="16"/>
      <c r="G10" s="16"/>
      <c r="H10" s="16"/>
    </row>
    <row r="11" spans="1:8" x14ac:dyDescent="0.3">
      <c r="A11" s="1" t="s">
        <v>8</v>
      </c>
      <c r="B11" s="1" t="s">
        <v>9</v>
      </c>
      <c r="C11" s="1" t="s">
        <v>10</v>
      </c>
      <c r="D11" s="1" t="s">
        <v>31</v>
      </c>
      <c r="E11" s="1" t="s">
        <v>32</v>
      </c>
      <c r="F11" s="1" t="s">
        <v>11</v>
      </c>
      <c r="G11" s="1" t="s">
        <v>40</v>
      </c>
      <c r="H11" s="1" t="s">
        <v>12</v>
      </c>
    </row>
    <row r="12" spans="1:8" x14ac:dyDescent="0.3">
      <c r="A12" s="16" t="s">
        <v>38</v>
      </c>
      <c r="B12" s="16">
        <v>2</v>
      </c>
      <c r="C12" s="16">
        <v>10</v>
      </c>
      <c r="D12" s="19">
        <v>15000</v>
      </c>
      <c r="E12" s="19">
        <f>D12/30</f>
        <v>500</v>
      </c>
      <c r="F12" s="19">
        <f>E12/10</f>
        <v>50</v>
      </c>
      <c r="G12" s="19">
        <f>F12/60*45</f>
        <v>37.5</v>
      </c>
      <c r="H12" s="19">
        <f>G12</f>
        <v>37.5</v>
      </c>
    </row>
    <row r="13" spans="1:8" x14ac:dyDescent="0.3">
      <c r="A13" s="16" t="s">
        <v>13</v>
      </c>
      <c r="B13" s="16">
        <v>4</v>
      </c>
      <c r="C13" s="16">
        <v>10</v>
      </c>
      <c r="D13" s="19">
        <v>12000</v>
      </c>
      <c r="E13" s="19">
        <f>D13/30</f>
        <v>400</v>
      </c>
      <c r="F13" s="19">
        <f>E13/10</f>
        <v>40</v>
      </c>
      <c r="G13" s="19">
        <f>F13/60*45</f>
        <v>30</v>
      </c>
      <c r="H13" s="19">
        <f>G13</f>
        <v>30</v>
      </c>
    </row>
    <row r="14" spans="1:8" x14ac:dyDescent="0.3">
      <c r="A14" s="16"/>
      <c r="B14" s="16"/>
      <c r="C14" s="16"/>
      <c r="D14" s="19"/>
      <c r="E14" s="19"/>
      <c r="F14" s="19"/>
      <c r="G14" s="19"/>
      <c r="H14" s="20">
        <f>SUM(H12:H13)</f>
        <v>67.5</v>
      </c>
    </row>
    <row r="15" spans="1:8" x14ac:dyDescent="0.3">
      <c r="A15" s="1" t="s">
        <v>14</v>
      </c>
      <c r="B15" s="20">
        <f>H14</f>
        <v>67.5</v>
      </c>
      <c r="C15" s="16"/>
      <c r="D15" s="16"/>
      <c r="E15" s="16"/>
      <c r="F15" s="16"/>
      <c r="G15" s="16"/>
      <c r="H15" s="16"/>
    </row>
    <row r="16" spans="1:8" x14ac:dyDescent="0.3">
      <c r="A16" s="16"/>
      <c r="B16" s="16"/>
      <c r="C16" s="16"/>
      <c r="D16" s="16"/>
      <c r="E16" s="16"/>
      <c r="F16" s="16"/>
      <c r="G16" s="16"/>
      <c r="H16" s="16"/>
    </row>
    <row r="17" spans="1:8" ht="25.8" x14ac:dyDescent="0.5">
      <c r="A17" s="16"/>
      <c r="B17" s="16"/>
      <c r="C17" s="8" t="s">
        <v>73</v>
      </c>
      <c r="D17" s="16"/>
      <c r="E17" s="16"/>
      <c r="F17" s="16"/>
      <c r="G17" s="16"/>
      <c r="H17" s="16"/>
    </row>
    <row r="18" spans="1:8" x14ac:dyDescent="0.3">
      <c r="A18" s="1" t="s">
        <v>8</v>
      </c>
      <c r="B18" s="1" t="s">
        <v>9</v>
      </c>
      <c r="C18" s="1" t="s">
        <v>10</v>
      </c>
      <c r="D18" s="1" t="s">
        <v>31</v>
      </c>
      <c r="E18" s="1" t="s">
        <v>32</v>
      </c>
      <c r="F18" s="1" t="s">
        <v>11</v>
      </c>
      <c r="G18" s="1" t="s">
        <v>40</v>
      </c>
      <c r="H18" s="1" t="s">
        <v>12</v>
      </c>
    </row>
    <row r="19" spans="1:8" x14ac:dyDescent="0.3">
      <c r="A19" s="16" t="s">
        <v>38</v>
      </c>
      <c r="B19" s="16">
        <v>1</v>
      </c>
      <c r="C19" s="16">
        <v>10</v>
      </c>
      <c r="D19" s="19">
        <v>15000</v>
      </c>
      <c r="E19" s="19">
        <f>D19/30</f>
        <v>500</v>
      </c>
      <c r="F19" s="19">
        <f>E19/10</f>
        <v>50</v>
      </c>
      <c r="G19" s="19">
        <f>F19/60*75</f>
        <v>62.5</v>
      </c>
      <c r="H19" s="19">
        <f>G19</f>
        <v>62.5</v>
      </c>
    </row>
    <row r="20" spans="1:8" x14ac:dyDescent="0.3">
      <c r="A20" s="16" t="s">
        <v>13</v>
      </c>
      <c r="B20" s="16">
        <v>4</v>
      </c>
      <c r="C20" s="16">
        <v>10</v>
      </c>
      <c r="D20" s="19">
        <v>12000</v>
      </c>
      <c r="E20" s="19">
        <f>D20/30</f>
        <v>400</v>
      </c>
      <c r="F20" s="19">
        <f>E20/10</f>
        <v>40</v>
      </c>
      <c r="G20" s="19">
        <f>F20/60*75</f>
        <v>50</v>
      </c>
      <c r="H20" s="19">
        <f>G20</f>
        <v>50</v>
      </c>
    </row>
    <row r="21" spans="1:8" x14ac:dyDescent="0.3">
      <c r="A21" s="16"/>
      <c r="B21" s="16"/>
      <c r="C21" s="16"/>
      <c r="D21" s="19"/>
      <c r="E21" s="19"/>
      <c r="F21" s="19"/>
      <c r="G21" s="19"/>
      <c r="H21" s="20">
        <f>SUM(H19:H20)</f>
        <v>112.5</v>
      </c>
    </row>
    <row r="22" spans="1:8" x14ac:dyDescent="0.3">
      <c r="A22" s="1" t="s">
        <v>14</v>
      </c>
      <c r="B22" s="20">
        <f>H21</f>
        <v>112.5</v>
      </c>
      <c r="C22" s="16"/>
      <c r="D22" s="16"/>
      <c r="E22" s="16"/>
      <c r="F22" s="16"/>
      <c r="G22" s="16"/>
      <c r="H22" s="16"/>
    </row>
    <row r="23" spans="1:8" x14ac:dyDescent="0.3">
      <c r="A23" s="16"/>
      <c r="B23" s="16"/>
      <c r="C23" s="16"/>
      <c r="D23" s="16"/>
      <c r="E23" s="16"/>
      <c r="F23" s="16"/>
      <c r="G23" s="16"/>
      <c r="H23" s="16"/>
    </row>
    <row r="24" spans="1:8" ht="25.8" x14ac:dyDescent="0.5">
      <c r="A24" s="16"/>
      <c r="B24" s="16"/>
      <c r="C24" s="8" t="s">
        <v>84</v>
      </c>
      <c r="D24" s="16"/>
      <c r="E24" s="16"/>
      <c r="F24" s="16"/>
      <c r="G24" s="16"/>
      <c r="H24" s="16"/>
    </row>
    <row r="25" spans="1:8" x14ac:dyDescent="0.3">
      <c r="A25" s="1" t="s">
        <v>8</v>
      </c>
      <c r="B25" s="1" t="s">
        <v>9</v>
      </c>
      <c r="C25" s="1" t="s">
        <v>10</v>
      </c>
      <c r="D25" s="1" t="s">
        <v>31</v>
      </c>
      <c r="E25" s="1" t="s">
        <v>32</v>
      </c>
      <c r="F25" s="1" t="s">
        <v>11</v>
      </c>
      <c r="G25" s="1" t="s">
        <v>40</v>
      </c>
      <c r="H25" s="1" t="s">
        <v>12</v>
      </c>
    </row>
    <row r="26" spans="1:8" x14ac:dyDescent="0.3">
      <c r="A26" s="16" t="s">
        <v>38</v>
      </c>
      <c r="B26" s="16">
        <v>1</v>
      </c>
      <c r="C26" s="16">
        <v>10</v>
      </c>
      <c r="D26" s="19">
        <v>15000</v>
      </c>
      <c r="E26" s="19">
        <f>D26/30</f>
        <v>500</v>
      </c>
      <c r="F26" s="19">
        <f>E26/10</f>
        <v>50</v>
      </c>
      <c r="G26" s="19">
        <f>F26/60*75</f>
        <v>62.5</v>
      </c>
      <c r="H26" s="19">
        <f>G26</f>
        <v>62.5</v>
      </c>
    </row>
    <row r="27" spans="1:8" x14ac:dyDescent="0.3">
      <c r="A27" s="16" t="s">
        <v>13</v>
      </c>
      <c r="B27" s="16">
        <v>4</v>
      </c>
      <c r="C27" s="16">
        <v>10</v>
      </c>
      <c r="D27" s="19">
        <v>12000</v>
      </c>
      <c r="E27" s="19">
        <f>D27/30</f>
        <v>400</v>
      </c>
      <c r="F27" s="19">
        <f>E27/10</f>
        <v>40</v>
      </c>
      <c r="G27" s="19">
        <f>F27/60*75</f>
        <v>50</v>
      </c>
      <c r="H27" s="19">
        <f>G27</f>
        <v>50</v>
      </c>
    </row>
    <row r="28" spans="1:8" x14ac:dyDescent="0.3">
      <c r="A28" s="16"/>
      <c r="B28" s="16"/>
      <c r="C28" s="16"/>
      <c r="D28" s="19"/>
      <c r="E28" s="19"/>
      <c r="F28" s="19"/>
      <c r="G28" s="19"/>
      <c r="H28" s="20">
        <f>SUM(H26:H27)</f>
        <v>112.5</v>
      </c>
    </row>
    <row r="29" spans="1:8" x14ac:dyDescent="0.3">
      <c r="A29" s="1" t="s">
        <v>14</v>
      </c>
      <c r="B29" s="20">
        <f>H28</f>
        <v>112.5</v>
      </c>
      <c r="C29" s="16"/>
      <c r="D29" s="16"/>
      <c r="E29" s="16"/>
      <c r="F29" s="16"/>
      <c r="G29" s="16"/>
      <c r="H29" s="16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B9" sqref="B9"/>
    </sheetView>
  </sheetViews>
  <sheetFormatPr defaultRowHeight="14.4" x14ac:dyDescent="0.3"/>
  <cols>
    <col min="1" max="1" width="31.6640625" bestFit="1" customWidth="1"/>
    <col min="2" max="2" width="37.5546875" style="4" bestFit="1" customWidth="1"/>
    <col min="3" max="3" width="14.44140625" style="4" bestFit="1" customWidth="1"/>
    <col min="5" max="5" width="10.21875" bestFit="1" customWidth="1"/>
  </cols>
  <sheetData>
    <row r="1" spans="1:5" ht="25.8" x14ac:dyDescent="0.5">
      <c r="A1" s="11" t="s">
        <v>83</v>
      </c>
      <c r="B1" s="6" t="s">
        <v>72</v>
      </c>
      <c r="C1" s="10"/>
    </row>
    <row r="2" spans="1:5" ht="18" x14ac:dyDescent="0.35">
      <c r="A2" s="21" t="s">
        <v>15</v>
      </c>
      <c r="B2" s="22" t="s">
        <v>16</v>
      </c>
      <c r="C2" s="22" t="s">
        <v>41</v>
      </c>
    </row>
    <row r="3" spans="1:5" ht="18" x14ac:dyDescent="0.35">
      <c r="A3" s="23" t="s">
        <v>33</v>
      </c>
      <c r="B3" s="24">
        <v>50000</v>
      </c>
      <c r="C3" s="25">
        <f>B3/30</f>
        <v>1666.6666666666667</v>
      </c>
    </row>
    <row r="4" spans="1:5" ht="18" x14ac:dyDescent="0.35">
      <c r="A4" s="23" t="s">
        <v>17</v>
      </c>
      <c r="B4" s="24">
        <v>450</v>
      </c>
      <c r="C4" s="24">
        <f>B4/30</f>
        <v>15</v>
      </c>
      <c r="E4" s="4"/>
    </row>
    <row r="5" spans="1:5" ht="18" x14ac:dyDescent="0.35">
      <c r="A5" s="26" t="s">
        <v>18</v>
      </c>
      <c r="B5" s="27">
        <f>SUM(B3:B4)</f>
        <v>50450</v>
      </c>
      <c r="C5" s="27">
        <f>C4+C3</f>
        <v>1681.6666666666667</v>
      </c>
      <c r="E5" s="4"/>
    </row>
    <row r="6" spans="1:5" ht="18" x14ac:dyDescent="0.35">
      <c r="A6" s="23"/>
      <c r="B6" s="24"/>
      <c r="C6" s="24"/>
    </row>
    <row r="7" spans="1:5" ht="18" x14ac:dyDescent="0.35">
      <c r="A7" s="21" t="s">
        <v>19</v>
      </c>
      <c r="B7" s="22" t="s">
        <v>43</v>
      </c>
      <c r="C7" s="22" t="s">
        <v>41</v>
      </c>
    </row>
    <row r="8" spans="1:5" ht="18" x14ac:dyDescent="0.35">
      <c r="A8" s="23" t="s">
        <v>44</v>
      </c>
      <c r="B8" s="24">
        <v>18698</v>
      </c>
      <c r="C8" s="24">
        <f>B8/30</f>
        <v>623.26666666666665</v>
      </c>
    </row>
    <row r="9" spans="1:5" ht="18" x14ac:dyDescent="0.35">
      <c r="A9" s="23" t="s">
        <v>42</v>
      </c>
      <c r="B9" s="25">
        <v>14191.75</v>
      </c>
      <c r="C9" s="24">
        <f>B9/30</f>
        <v>473.05833333333334</v>
      </c>
    </row>
    <row r="10" spans="1:5" ht="18" x14ac:dyDescent="0.35">
      <c r="A10" s="23" t="s">
        <v>20</v>
      </c>
      <c r="B10" s="24">
        <v>257550</v>
      </c>
      <c r="C10" s="24">
        <f>B10/30</f>
        <v>8585</v>
      </c>
    </row>
    <row r="11" spans="1:5" ht="18" x14ac:dyDescent="0.35">
      <c r="A11" s="21" t="s">
        <v>21</v>
      </c>
      <c r="B11" s="28">
        <f>SUM(B8:B10)</f>
        <v>290439.75</v>
      </c>
      <c r="C11" s="27">
        <f>C10+C9+C8</f>
        <v>9681.3249999999989</v>
      </c>
    </row>
    <row r="12" spans="1:5" ht="18" x14ac:dyDescent="0.35">
      <c r="A12" s="23"/>
      <c r="B12" s="24"/>
      <c r="C12" s="24"/>
    </row>
    <row r="13" spans="1:5" ht="18" x14ac:dyDescent="0.35">
      <c r="A13" s="21" t="s">
        <v>51</v>
      </c>
      <c r="B13" s="27">
        <f>SUM(C5,C11)</f>
        <v>11362.991666666665</v>
      </c>
      <c r="C13" s="24"/>
    </row>
    <row r="14" spans="1:5" ht="18" x14ac:dyDescent="0.35">
      <c r="A14" s="21" t="s">
        <v>52</v>
      </c>
      <c r="B14" s="27">
        <f>B13/65</f>
        <v>174.81525641025638</v>
      </c>
      <c r="C14" s="2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tabSelected="1" workbookViewId="0">
      <selection activeCell="C12" sqref="C12"/>
    </sheetView>
  </sheetViews>
  <sheetFormatPr defaultRowHeight="14.4" x14ac:dyDescent="0.3"/>
  <cols>
    <col min="1" max="1" width="17.77734375" bestFit="1" customWidth="1"/>
    <col min="2" max="2" width="4.33203125" bestFit="1" customWidth="1"/>
    <col min="3" max="3" width="33.109375" bestFit="1" customWidth="1"/>
    <col min="4" max="4" width="12.5546875" style="4" customWidth="1"/>
    <col min="5" max="5" width="7.77734375" style="4" bestFit="1" customWidth="1"/>
    <col min="6" max="6" width="15.33203125" style="4" bestFit="1" customWidth="1"/>
  </cols>
  <sheetData>
    <row r="1" spans="1:6" ht="25.8" x14ac:dyDescent="0.5">
      <c r="A1" s="15" t="s">
        <v>28</v>
      </c>
      <c r="B1" s="16"/>
      <c r="C1" s="9" t="s">
        <v>55</v>
      </c>
    </row>
    <row r="2" spans="1:6" x14ac:dyDescent="0.3">
      <c r="A2" s="1" t="s">
        <v>22</v>
      </c>
      <c r="B2" s="1" t="s">
        <v>1</v>
      </c>
      <c r="C2" s="1" t="s">
        <v>47</v>
      </c>
      <c r="D2" s="17" t="s">
        <v>48</v>
      </c>
      <c r="E2" s="18" t="s">
        <v>23</v>
      </c>
      <c r="F2" s="18" t="s">
        <v>50</v>
      </c>
    </row>
    <row r="3" spans="1:6" x14ac:dyDescent="0.3">
      <c r="A3" s="16" t="s">
        <v>45</v>
      </c>
      <c r="B3" s="16" t="s">
        <v>49</v>
      </c>
      <c r="C3" s="16">
        <v>37</v>
      </c>
      <c r="D3" s="19">
        <v>1</v>
      </c>
      <c r="E3" s="19">
        <f>D3*C3</f>
        <v>37</v>
      </c>
      <c r="F3" s="19">
        <f>E3</f>
        <v>37</v>
      </c>
    </row>
    <row r="4" spans="1:6" x14ac:dyDescent="0.3">
      <c r="A4" s="16" t="s">
        <v>46</v>
      </c>
      <c r="B4" s="16" t="s">
        <v>49</v>
      </c>
      <c r="C4" s="16"/>
      <c r="D4" s="19"/>
      <c r="E4" s="19"/>
      <c r="F4" s="19"/>
    </row>
    <row r="5" spans="1:6" x14ac:dyDescent="0.3">
      <c r="A5" s="16" t="s">
        <v>24</v>
      </c>
      <c r="B5" s="16" t="s">
        <v>49</v>
      </c>
      <c r="C5" s="16">
        <v>37</v>
      </c>
      <c r="D5" s="19">
        <v>0.02</v>
      </c>
      <c r="E5" s="19">
        <f>D5*C5</f>
        <v>0.74</v>
      </c>
      <c r="F5" s="19">
        <f>E5</f>
        <v>0.74</v>
      </c>
    </row>
    <row r="6" spans="1:6" x14ac:dyDescent="0.3">
      <c r="A6" s="16" t="s">
        <v>25</v>
      </c>
      <c r="B6" s="16"/>
      <c r="C6" s="16"/>
      <c r="D6" s="19"/>
      <c r="E6" s="19"/>
      <c r="F6" s="19"/>
    </row>
    <row r="7" spans="1:6" x14ac:dyDescent="0.3">
      <c r="A7" s="1" t="s">
        <v>26</v>
      </c>
      <c r="B7" s="16"/>
      <c r="C7" s="16"/>
      <c r="D7" s="19"/>
      <c r="E7" s="19"/>
      <c r="F7" s="20">
        <f>SUM(F3:F6)</f>
        <v>37.74</v>
      </c>
    </row>
    <row r="8" spans="1:6" x14ac:dyDescent="0.3">
      <c r="A8" s="16"/>
      <c r="B8" s="16"/>
      <c r="C8" s="16"/>
      <c r="D8" s="19"/>
      <c r="E8" s="19"/>
      <c r="F8" s="19"/>
    </row>
    <row r="9" spans="1:6" ht="25.8" x14ac:dyDescent="0.5">
      <c r="A9" s="16"/>
      <c r="B9" s="16"/>
      <c r="C9" s="9" t="s">
        <v>56</v>
      </c>
      <c r="D9" s="19"/>
      <c r="E9" s="19"/>
      <c r="F9" s="19"/>
    </row>
    <row r="10" spans="1:6" x14ac:dyDescent="0.3">
      <c r="A10" s="1" t="s">
        <v>22</v>
      </c>
      <c r="B10" s="1" t="s">
        <v>1</v>
      </c>
      <c r="C10" s="1" t="s">
        <v>47</v>
      </c>
      <c r="D10" s="17" t="s">
        <v>48</v>
      </c>
      <c r="E10" s="18" t="s">
        <v>23</v>
      </c>
      <c r="F10" s="18" t="s">
        <v>50</v>
      </c>
    </row>
    <row r="11" spans="1:6" x14ac:dyDescent="0.3">
      <c r="A11" s="16" t="s">
        <v>45</v>
      </c>
      <c r="B11" s="16" t="s">
        <v>49</v>
      </c>
      <c r="C11" s="16">
        <v>30</v>
      </c>
      <c r="D11" s="19">
        <v>3.25</v>
      </c>
      <c r="E11" s="19">
        <f>D11*C11</f>
        <v>97.5</v>
      </c>
      <c r="F11" s="19">
        <f>E11</f>
        <v>97.5</v>
      </c>
    </row>
    <row r="12" spans="1:6" x14ac:dyDescent="0.3">
      <c r="A12" s="16" t="s">
        <v>46</v>
      </c>
      <c r="B12" s="16" t="s">
        <v>49</v>
      </c>
      <c r="C12" s="16"/>
      <c r="D12" s="19"/>
      <c r="E12" s="19"/>
      <c r="F12" s="19"/>
    </row>
    <row r="13" spans="1:6" x14ac:dyDescent="0.3">
      <c r="A13" s="16" t="s">
        <v>24</v>
      </c>
      <c r="B13" s="16" t="s">
        <v>49</v>
      </c>
      <c r="C13" s="16">
        <v>30</v>
      </c>
      <c r="D13" s="19">
        <v>0.02</v>
      </c>
      <c r="E13" s="19">
        <f>D13*C13</f>
        <v>0.6</v>
      </c>
      <c r="F13" s="19">
        <f>E13</f>
        <v>0.6</v>
      </c>
    </row>
    <row r="14" spans="1:6" x14ac:dyDescent="0.3">
      <c r="A14" s="16" t="s">
        <v>25</v>
      </c>
      <c r="B14" s="16"/>
      <c r="C14" s="16"/>
      <c r="D14" s="19"/>
      <c r="E14" s="19"/>
      <c r="F14" s="19"/>
    </row>
    <row r="15" spans="1:6" x14ac:dyDescent="0.3">
      <c r="A15" s="1" t="s">
        <v>26</v>
      </c>
      <c r="B15" s="16"/>
      <c r="C15" s="16"/>
      <c r="D15" s="19"/>
      <c r="E15" s="19"/>
      <c r="F15" s="20">
        <f>SUM(F11:F14)</f>
        <v>98.1</v>
      </c>
    </row>
    <row r="16" spans="1:6" x14ac:dyDescent="0.3">
      <c r="A16" s="16"/>
      <c r="B16" s="16"/>
      <c r="C16" s="16"/>
      <c r="D16" s="19"/>
      <c r="E16" s="19"/>
      <c r="F16" s="19"/>
    </row>
    <row r="17" spans="1:6" ht="25.8" x14ac:dyDescent="0.5">
      <c r="A17" s="16"/>
      <c r="B17" s="16"/>
      <c r="C17" s="8" t="s">
        <v>73</v>
      </c>
      <c r="D17" s="19"/>
      <c r="E17" s="19"/>
      <c r="F17" s="19"/>
    </row>
    <row r="18" spans="1:6" x14ac:dyDescent="0.3">
      <c r="A18" s="1" t="s">
        <v>22</v>
      </c>
      <c r="B18" s="1" t="s">
        <v>1</v>
      </c>
      <c r="C18" s="1" t="s">
        <v>47</v>
      </c>
      <c r="D18" s="17" t="s">
        <v>48</v>
      </c>
      <c r="E18" s="18" t="s">
        <v>23</v>
      </c>
      <c r="F18" s="18" t="s">
        <v>50</v>
      </c>
    </row>
    <row r="19" spans="1:6" x14ac:dyDescent="0.3">
      <c r="A19" s="16" t="s">
        <v>82</v>
      </c>
      <c r="B19" s="16" t="s">
        <v>49</v>
      </c>
      <c r="C19" s="16">
        <v>120</v>
      </c>
      <c r="D19" s="19">
        <v>3.25</v>
      </c>
      <c r="E19" s="19">
        <f>D19*C19</f>
        <v>390</v>
      </c>
      <c r="F19" s="19">
        <f>E19</f>
        <v>390</v>
      </c>
    </row>
    <row r="20" spans="1:6" x14ac:dyDescent="0.3">
      <c r="A20" s="16" t="s">
        <v>46</v>
      </c>
      <c r="B20" s="16" t="s">
        <v>49</v>
      </c>
      <c r="C20" s="16"/>
      <c r="D20" s="19"/>
      <c r="E20" s="19"/>
      <c r="F20" s="19"/>
    </row>
    <row r="21" spans="1:6" x14ac:dyDescent="0.3">
      <c r="A21" s="16" t="s">
        <v>24</v>
      </c>
      <c r="B21" s="16" t="s">
        <v>49</v>
      </c>
      <c r="C21" s="16">
        <v>120</v>
      </c>
      <c r="D21" s="19">
        <v>0.02</v>
      </c>
      <c r="E21" s="19">
        <f>D21*C21</f>
        <v>2.4</v>
      </c>
      <c r="F21" s="19">
        <f>E21</f>
        <v>2.4</v>
      </c>
    </row>
    <row r="22" spans="1:6" x14ac:dyDescent="0.3">
      <c r="A22" s="16" t="s">
        <v>25</v>
      </c>
      <c r="B22" s="16"/>
      <c r="C22" s="16"/>
      <c r="D22" s="19"/>
      <c r="E22" s="19"/>
      <c r="F22" s="19"/>
    </row>
    <row r="23" spans="1:6" x14ac:dyDescent="0.3">
      <c r="A23" s="1" t="s">
        <v>26</v>
      </c>
      <c r="B23" s="16"/>
      <c r="C23" s="16"/>
      <c r="D23" s="19"/>
      <c r="E23" s="19"/>
      <c r="F23" s="20">
        <f>SUM(F19:F22)</f>
        <v>392.4</v>
      </c>
    </row>
    <row r="24" spans="1:6" x14ac:dyDescent="0.3">
      <c r="A24" s="16"/>
      <c r="B24" s="16"/>
      <c r="C24" s="16"/>
      <c r="D24" s="19"/>
      <c r="E24" s="19"/>
      <c r="F24" s="19"/>
    </row>
    <row r="25" spans="1:6" ht="25.8" x14ac:dyDescent="0.5">
      <c r="A25" s="16"/>
      <c r="B25" s="16"/>
      <c r="C25" s="8" t="s">
        <v>84</v>
      </c>
      <c r="D25" s="19"/>
      <c r="E25" s="19"/>
      <c r="F25" s="19"/>
    </row>
    <row r="26" spans="1:6" x14ac:dyDescent="0.3">
      <c r="A26" s="1" t="s">
        <v>22</v>
      </c>
      <c r="B26" s="1" t="s">
        <v>1</v>
      </c>
      <c r="C26" s="1" t="s">
        <v>47</v>
      </c>
      <c r="D26" s="17" t="s">
        <v>48</v>
      </c>
      <c r="E26" s="18" t="s">
        <v>23</v>
      </c>
      <c r="F26" s="18" t="s">
        <v>50</v>
      </c>
    </row>
    <row r="27" spans="1:6" x14ac:dyDescent="0.3">
      <c r="A27" s="16" t="s">
        <v>82</v>
      </c>
      <c r="B27" s="16" t="s">
        <v>49</v>
      </c>
      <c r="C27" s="16">
        <v>30</v>
      </c>
      <c r="D27" s="19">
        <v>3.25</v>
      </c>
      <c r="E27" s="19">
        <f>D27*C27</f>
        <v>97.5</v>
      </c>
      <c r="F27" s="19">
        <f>E27</f>
        <v>97.5</v>
      </c>
    </row>
    <row r="28" spans="1:6" x14ac:dyDescent="0.3">
      <c r="A28" s="16" t="s">
        <v>46</v>
      </c>
      <c r="B28" s="16" t="s">
        <v>49</v>
      </c>
      <c r="C28" s="16"/>
      <c r="D28" s="19"/>
      <c r="E28" s="19"/>
      <c r="F28" s="19"/>
    </row>
    <row r="29" spans="1:6" x14ac:dyDescent="0.3">
      <c r="A29" s="16" t="s">
        <v>24</v>
      </c>
      <c r="B29" s="16" t="s">
        <v>49</v>
      </c>
      <c r="C29" s="16">
        <v>30</v>
      </c>
      <c r="D29" s="19">
        <v>0.02</v>
      </c>
      <c r="E29" s="19">
        <f>D29*C29</f>
        <v>0.6</v>
      </c>
      <c r="F29" s="19">
        <f>E29</f>
        <v>0.6</v>
      </c>
    </row>
    <row r="30" spans="1:6" x14ac:dyDescent="0.3">
      <c r="A30" s="16" t="s">
        <v>25</v>
      </c>
      <c r="B30" s="16"/>
      <c r="C30" s="16"/>
      <c r="D30" s="19"/>
      <c r="E30" s="19"/>
      <c r="F30" s="19"/>
    </row>
    <row r="31" spans="1:6" x14ac:dyDescent="0.3">
      <c r="A31" s="1" t="s">
        <v>26</v>
      </c>
      <c r="B31" s="16"/>
      <c r="C31" s="16"/>
      <c r="D31" s="19"/>
      <c r="E31" s="19"/>
      <c r="F31" s="20">
        <f>SUM(F27:F30)</f>
        <v>98.1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Material Cost</vt:lpstr>
      <vt:lpstr>Direct Labour Cost</vt:lpstr>
      <vt:lpstr>Manufacturing Overheads</vt:lpstr>
      <vt:lpstr>Packaging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 murugan</cp:lastModifiedBy>
  <dcterms:created xsi:type="dcterms:W3CDTF">2026-01-23T05:12:10Z</dcterms:created>
  <dcterms:modified xsi:type="dcterms:W3CDTF">2026-05-21T07:24:48Z</dcterms:modified>
</cp:coreProperties>
</file>